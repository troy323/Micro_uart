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ART Test Plan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<sst xmlns="http://schemas.openxmlformats.org/spreadsheetml/2006/main" count="253" uniqueCount="181">
  <si>
    <t xml:space="preserve">UART Testbench — Test Plan</t>
  </si>
  <si>
    <t xml:space="preserve">Module: uart  |  Testbench: uart_tb  |  Baud: 2400  |  Clk: 50 MHz  |  Data bits: 8</t>
  </si>
  <si>
    <t xml:space="preserve">TC #</t>
  </si>
  <si>
    <t xml:space="preserve">Category</t>
  </si>
  <si>
    <t xml:space="preserve">Test Name</t>
  </si>
  <si>
    <t xml:space="preserve">FSM / Block Under Test</t>
  </si>
  <si>
    <t xml:space="preserve">Stimulus / Action</t>
  </si>
  <si>
    <t xml:space="preserve">Expected Output / Behaviour</t>
  </si>
  <si>
    <t xml:space="preserve">Key Signals Checked</t>
  </si>
  <si>
    <t xml:space="preserve">Pass Criteria</t>
  </si>
  <si>
    <t xml:space="preserve">Result</t>
  </si>
  <si>
    <t xml:space="preserve">Notes</t>
  </si>
  <si>
    <t xml:space="preserve">TC1</t>
  </si>
  <si>
    <t xml:space="preserve">Reset</t>
  </si>
  <si>
    <t xml:space="preserve">Reset state verification</t>
  </si>
  <si>
    <t xml:space="preserve">TX FSM IDLE / RX FSM IDLE</t>
  </si>
  <si>
    <t xml:space="preserve">Assert sys_rst_l=0 for 4 clk cycles then de-assert</t>
  </si>
  <si>
    <t xml:space="preserve">All outputs in safe default: xmit_doneH=1, xmit_active=0, rec_readyH=1, rec_busy=0</t>
  </si>
  <si>
    <t xml:space="preserve">xmit_doneH, xmit_active, rec_readyH, rec_busy</t>
  </si>
  <si>
    <t xml:space="preserve">xmit_doneH==1 AND xmit_active==0 AND rec_readyH==1 AND rec_busy==0</t>
  </si>
  <si>
    <t xml:space="preserve">PASS</t>
  </si>
  <si>
    <t xml:space="preserve">Covers power-on / asynchronous reset path</t>
  </si>
  <si>
    <t xml:space="preserve">TC2</t>
  </si>
  <si>
    <t xml:space="preserve">TX — Basic</t>
  </si>
  <si>
    <t xml:space="preserve">TX alternating-1 pattern (0x55)</t>
  </si>
  <si>
    <t xml:space="preserve">TX FSM: IDLE→START→DATA(×8)→STOP→IDLE</t>
  </si>
  <si>
    <t xml:space="preserve">data_in=0x55, assert xmitH until clk_enable, then deassert</t>
  </si>
  <si>
    <t xml:space="preserve">uart_XMIT_dataH outputs framed serial byte; xmit_doneH asserts after STOP</t>
  </si>
  <si>
    <t xml:space="preserve">uart_XMIT_dataH, xmit_doneH, xmit_active</t>
  </si>
  <si>
    <t xml:space="preserve">xmit_doneH==1 within 2 000 000 sys_clks</t>
  </si>
  <si>
    <t xml:space="preserve">Alternating bit pattern; exercises DATA state for all 0/1 transitions</t>
  </si>
  <si>
    <t xml:space="preserve">TC3</t>
  </si>
  <si>
    <t xml:space="preserve">TX alternating-0 pattern (0xAA)</t>
  </si>
  <si>
    <t xml:space="preserve">data_in=0xAA, assert xmitH until clk_enable</t>
  </si>
  <si>
    <t xml:space="preserve">Correct serial framing of 0xAA; xmit_doneH asserts</t>
  </si>
  <si>
    <t xml:space="preserve">uart_XMIT_dataH, xmit_doneH</t>
  </si>
  <si>
    <t xml:space="preserve">xmit_doneH==1 within timeout</t>
  </si>
  <si>
    <t xml:space="preserve">Complement of TC2; together TC2+TC3 toggle every bit position</t>
  </si>
  <si>
    <t xml:space="preserve">TC4</t>
  </si>
  <si>
    <t xml:space="preserve">TX — Edge</t>
  </si>
  <si>
    <t xml:space="preserve">TX all-zeros (0x00)</t>
  </si>
  <si>
    <t xml:space="preserve">TX FSM DATA state: all bits=0</t>
  </si>
  <si>
    <t xml:space="preserve">data_in=0x00, trigger xmitH</t>
  </si>
  <si>
    <t xml:space="preserve">Eight 0-bits between start and stop; xmit_doneH asserts</t>
  </si>
  <si>
    <t xml:space="preserve">Minimum mark density; stop bit must still be 1</t>
  </si>
  <si>
    <t xml:space="preserve">TC5</t>
  </si>
  <si>
    <t xml:space="preserve">TX all-ones (0xFF)</t>
  </si>
  <si>
    <t xml:space="preserve">TX FSM DATA state: all bits=1</t>
  </si>
  <si>
    <t xml:space="preserve">data_in=0xFF, trigger xmitH</t>
  </si>
  <si>
    <t xml:space="preserve">Eight 1-bits between start and stop; xmit_doneH asserts</t>
  </si>
  <si>
    <t xml:space="preserve">Maximum mark density</t>
  </si>
  <si>
    <t xml:space="preserve">TC6</t>
  </si>
  <si>
    <t xml:space="preserve">TX mixed pattern (0xA5)</t>
  </si>
  <si>
    <t xml:space="preserve">TX FSM full path</t>
  </si>
  <si>
    <t xml:space="preserve">data_in=0xA5, trigger xmitH</t>
  </si>
  <si>
    <t xml:space="preserve">Correct serial frame for 0xA5; xmit_doneH asserts</t>
  </si>
  <si>
    <t xml:space="preserve">TC7</t>
  </si>
  <si>
    <t xml:space="preserve">TX — Idle</t>
  </si>
  <si>
    <t xml:space="preserve">TX IDLE stays IDLE when xmitH=0</t>
  </si>
  <si>
    <t xml:space="preserve">TX FSM IDLE→IDLE branch</t>
  </si>
  <si>
    <t xml:space="preserve">Hold xmitH=0 for BIT_CLKS sys_clks after previous TX</t>
  </si>
  <si>
    <t xml:space="preserve">No transmission; xmit_active=0, xmit_doneH=1</t>
  </si>
  <si>
    <t xml:space="preserve">xmit_active, xmit_doneH</t>
  </si>
  <si>
    <t xml:space="preserve">xmit_active==0 AND xmit_doneH==1</t>
  </si>
  <si>
    <t xml:space="preserve">Covers IDLE self-loop when xmitH is not asserted</t>
  </si>
  <si>
    <t xml:space="preserve">TC8</t>
  </si>
  <si>
    <t xml:space="preserve">RX — Basic</t>
  </si>
  <si>
    <t xml:space="preserve">RX alternating-1 pattern (0x55)</t>
  </si>
  <si>
    <t xml:space="preserve">RX FSM: IDLE→START→DATAOUT(×8)→STOP→IDLE</t>
  </si>
  <si>
    <t xml:space="preserve">Drive uart_REC_dataH with framed 0x55 at correct baud</t>
  </si>
  <si>
    <t xml:space="preserve">rec_dataH==0x55, rec_readyH asserts after STOP</t>
  </si>
  <si>
    <t xml:space="preserve">rec_dataH, rec_readyH, rec_busy</t>
  </si>
  <si>
    <t xml:space="preserve">rec_readyH==1 AND rec_dataH==0x55</t>
  </si>
  <si>
    <t xml:space="preserve">TC9</t>
  </si>
  <si>
    <t xml:space="preserve">RX alternating-0 pattern (0xAA)</t>
  </si>
  <si>
    <t xml:space="preserve">RX FSM full path</t>
  </si>
  <si>
    <t xml:space="preserve">Drive uart_REC_dataH with framed 0xAA</t>
  </si>
  <si>
    <t xml:space="preserve">rec_dataH==0xAA, rec_readyH asserts</t>
  </si>
  <si>
    <t xml:space="preserve">rec_dataH, rec_readyH</t>
  </si>
  <si>
    <t xml:space="preserve">rec_readyH==1 AND rec_dataH==0xAA</t>
  </si>
  <si>
    <t xml:space="preserve">TC10</t>
  </si>
  <si>
    <t xml:space="preserve">RX — Edge</t>
  </si>
  <si>
    <t xml:space="preserve">RX all-zeros (0x00)</t>
  </si>
  <si>
    <t xml:space="preserve">RX FSM DATAOUT: all data bits=0</t>
  </si>
  <si>
    <t xml:space="preserve">Drive uart_REC_dataH with framed 0x00</t>
  </si>
  <si>
    <t xml:space="preserve">rec_dataH==0x00, rec_readyH asserts</t>
  </si>
  <si>
    <t xml:space="preserve">rec_readyH==1 AND rec_dataH==0x00</t>
  </si>
  <si>
    <t xml:space="preserve">TC11</t>
  </si>
  <si>
    <t xml:space="preserve">RX all-ones (0xFF)</t>
  </si>
  <si>
    <t xml:space="preserve">RX FSM DATAOUT: all data bits=1</t>
  </si>
  <si>
    <t xml:space="preserve">Drive uart_REC_dataH with framed 0xFF</t>
  </si>
  <si>
    <t xml:space="preserve">rec_dataH==0xFF, rec_readyH asserts</t>
  </si>
  <si>
    <t xml:space="preserve">rec_readyH==1 AND rec_dataH==0xFF</t>
  </si>
  <si>
    <t xml:space="preserve">TC12</t>
  </si>
  <si>
    <t xml:space="preserve">RX mixed pattern (0xA5)</t>
  </si>
  <si>
    <t xml:space="preserve">Drive uart_REC_dataH with framed 0xA5</t>
  </si>
  <si>
    <t xml:space="preserve">rec_dataH==0xA5, rec_readyH asserts</t>
  </si>
  <si>
    <t xml:space="preserve">rec_readyH==1 AND rec_dataH==0xA5</t>
  </si>
  <si>
    <t xml:space="preserve">TC13</t>
  </si>
  <si>
    <t xml:space="preserve">RX — Error</t>
  </si>
  <si>
    <t xml:space="preserve">False start bit rejected (START→IDLE)</t>
  </si>
  <si>
    <t xml:space="preserve">RX FSM START state: F2 check at count==7</t>
  </si>
  <si>
    <t xml:space="preserve">Drive uart_REC_dataH=0 for &lt; half-bit (4×CLK_VALUE cycles) then release</t>
  </si>
  <si>
    <t xml:space="preserve">RX FSM returns to IDLE; rec_busy=0, rec_readyH=1 (no data latched)</t>
  </si>
  <si>
    <t xml:space="preserve">rec_busy, rec_readyH</t>
  </si>
  <si>
    <t xml:space="preserve">rec_busy==0 AND rec_readyH==1 after glitch</t>
  </si>
  <si>
    <t xml:space="preserve">Glitch filter; start bit must remain low through the half-bit sample point</t>
  </si>
  <si>
    <t xml:space="preserve">TC14</t>
  </si>
  <si>
    <t xml:space="preserve">Bad stop bit not latched</t>
  </si>
  <si>
    <t xml:space="preserve">RX FSM STOP state: F2==0 branch</t>
  </si>
  <si>
    <t xml:space="preserve">Drive complete frame but force stop bit=0 instead of 1</t>
  </si>
  <si>
    <t xml:space="preserve">rec_readyH remains 0; rec_dataH not updated (framing error)</t>
  </si>
  <si>
    <t xml:space="preserve">rec_readyH, rec_busy</t>
  </si>
  <si>
    <t xml:space="preserve">rec_readyH==0 (data not latched) immediately after STOP</t>
  </si>
  <si>
    <t xml:space="preserve">Covers else branch in STOP state</t>
  </si>
  <si>
    <t xml:space="preserve">TC15</t>
  </si>
  <si>
    <t xml:space="preserve">TX — Back-to-back</t>
  </si>
  <si>
    <t xml:space="preserve">Back-to-back TX (0x12, 0x34)</t>
  </si>
  <si>
    <t xml:space="preserve">TX FSM STOP→IDLE→START</t>
  </si>
  <si>
    <t xml:space="preserve">Issue uart_transmit(0x12) immediately followed by uart_transmit(0x34)</t>
  </si>
  <si>
    <t xml:space="preserve">Both bytes transmitted with xmit_doneH asserting after each; no frame gap required</t>
  </si>
  <si>
    <t xml:space="preserve">xmit_doneH==1 twice, both within timeout</t>
  </si>
  <si>
    <t xml:space="preserve">Covers STOP→IDLE→START consecutive frame transition</t>
  </si>
  <si>
    <t xml:space="preserve">TC16</t>
  </si>
  <si>
    <t xml:space="preserve">RX — Back-to-back</t>
  </si>
  <si>
    <t xml:space="preserve">Back-to-back RX (0xBE, 0xEF)</t>
  </si>
  <si>
    <t xml:space="preserve">RX FSM STOP→IDLE→START</t>
  </si>
  <si>
    <t xml:space="preserve">Drive framed 0xBE then 0xEF with no inter-frame gap</t>
  </si>
  <si>
    <t xml:space="preserve">rec_dataH matches each byte; rec_readyH asserts after each STOP</t>
  </si>
  <si>
    <t xml:space="preserve">Both: rec_readyH==1 AND rec_dataH correct</t>
  </si>
  <si>
    <t xml:space="preserve">TC17</t>
  </si>
  <si>
    <t xml:space="preserve">Reset — TX</t>
  </si>
  <si>
    <t xml:space="preserve">Reset during TX START state</t>
  </si>
  <si>
    <t xml:space="preserve">TX FSM async reset in START</t>
  </si>
  <si>
    <t xml:space="preserve">Begin TX 0x7E; assert sys_rst_l=0 a few clk_enables into START</t>
  </si>
  <si>
    <t xml:space="preserve">TX FSM returns to IDLE: xmit_active=0, xmit_doneH=1</t>
  </si>
  <si>
    <t xml:space="preserve">xmit_active==0 AND xmit_doneH==1 after reset de-asserts</t>
  </si>
  <si>
    <t xml:space="preserve">TC18</t>
  </si>
  <si>
    <t xml:space="preserve">Reset during TX DATA state</t>
  </si>
  <si>
    <t xml:space="preserve">TX FSM async reset in DATA</t>
  </si>
  <si>
    <t xml:space="preserve">Begin TX 0x7E; assert reset after START + 3 bits</t>
  </si>
  <si>
    <t xml:space="preserve">TC19</t>
  </si>
  <si>
    <t xml:space="preserve">Reset during TX STOP state</t>
  </si>
  <si>
    <t xml:space="preserve">TX FSM async reset in STOP</t>
  </si>
  <si>
    <t xml:space="preserve">Begin TX 0x55; assert reset after 10×BIT_CLKS (STOP state)</t>
  </si>
  <si>
    <t xml:space="preserve">TC20</t>
  </si>
  <si>
    <t xml:space="preserve">Reset — RX</t>
  </si>
  <si>
    <t xml:space="preserve">Reset during RX DATAOUT state</t>
  </si>
  <si>
    <t xml:space="preserve">RX FSM async reset in DATAOUT</t>
  </si>
  <si>
    <t xml:space="preserve">Drive start + 1 data bit; assert reset mid-frame</t>
  </si>
  <si>
    <t xml:space="preserve">RX FSM returns to IDLE: rec_busy=0, rec_readyH=1</t>
  </si>
  <si>
    <t xml:space="preserve">rec_busy==0 AND rec_readyH==1 after reset de-asserts</t>
  </si>
  <si>
    <t xml:space="preserve">TC21</t>
  </si>
  <si>
    <t xml:space="preserve">TX immediately after reset (0xC3)</t>
  </si>
  <si>
    <t xml:space="preserve">TX FSM post-reset IDLE→START</t>
  </si>
  <si>
    <t xml:space="preserve">do_reset then uart_transmit(0xC3) without extra delay</t>
  </si>
  <si>
    <t xml:space="preserve">Normal frame transmitted; xmit_doneH asserts</t>
  </si>
  <si>
    <t xml:space="preserve">Verifies FSM initialises cleanly</t>
  </si>
  <si>
    <t xml:space="preserve">TC22</t>
  </si>
  <si>
    <t xml:space="preserve">RX immediately after reset (0x3C)</t>
  </si>
  <si>
    <t xml:space="preserve">RX FSM post-reset IDLE→START</t>
  </si>
  <si>
    <t xml:space="preserve">do_reset then uart_receive(0x3C) without extra delay</t>
  </si>
  <si>
    <t xml:space="preserve">rec_dataH==0x3C, rec_readyH asserts</t>
  </si>
  <si>
    <t xml:space="preserve">rec_readyH==1 AND rec_dataH==0x3C</t>
  </si>
  <si>
    <t xml:space="preserve">TC23</t>
  </si>
  <si>
    <t xml:space="preserve">TX — Timing</t>
  </si>
  <si>
    <t xml:space="preserve">xmitH held across multiple clk_enables</t>
  </si>
  <si>
    <t xml:space="preserve">TX FSM: single frame, no double-start</t>
  </si>
  <si>
    <t xml:space="preserve">Assert xmitH, wait 2× clk_enable pulses, then deassert; data_in=0xDE</t>
  </si>
  <si>
    <t xml:space="preserve">Only ONE frame transmitted; xmit_doneH asserts once</t>
  </si>
  <si>
    <t xml:space="preserve">xmit_doneH==1 once only; no second start bit</t>
  </si>
  <si>
    <t xml:space="preserve">Verifies xmitH is edge-qualified inside FSM; no re-trigger</t>
  </si>
  <si>
    <t xml:space="preserve">Test Execution Summary</t>
  </si>
  <si>
    <t xml:space="preserve">Metric</t>
  </si>
  <si>
    <t xml:space="preserve">Value</t>
  </si>
  <si>
    <t xml:space="preserve">Total Test Cases</t>
  </si>
  <si>
    <t xml:space="preserve">FAIL</t>
  </si>
  <si>
    <t xml:space="preserve">NOT RUN</t>
  </si>
  <si>
    <t xml:space="preserve">Pass Rate (%)</t>
  </si>
  <si>
    <t xml:space="preserve">Category Breakdown</t>
  </si>
  <si>
    <t xml:space="preserve">Count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</si>
</sst>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\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sz val="10"/>
      <color rgb="FF1F1F1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9E1F2"/>
        <bgColor rgb="FFD9D9D9"/>
      </patternFill>
    </fill>
    <fill>
      <patternFill patternType="solid">
        <fgColor rgb="FFC5E0B4"/>
        <bgColor rgb="FFD9D9D9"/>
      </patternFill>
    </fill>
    <fill>
      <patternFill patternType="solid">
        <fgColor rgb="FFE2EFDA"/>
        <bgColor rgb="FFD9E1F2"/>
      </patternFill>
    </fill>
    <fill>
      <patternFill patternType="solid">
        <fgColor rgb="FFFFFFFF"/>
        <bgColor rgb="FFFFFFCC"/>
      </patternFill>
    </fill>
    <fill>
      <patternFill patternType="solid">
        <fgColor rgb="FFBDD7EE"/>
        <bgColor rgb="FFB4C6E7"/>
      </patternFill>
    </fill>
    <fill>
      <patternFill patternType="solid">
        <fgColor rgb="FF9DC3E6"/>
        <bgColor rgb="FFB4C6E7"/>
      </patternFill>
    </fill>
    <fill>
      <patternFill patternType="solid">
        <fgColor rgb="FFB4C6E7"/>
        <bgColor rgb="FF9DC3E6"/>
      </patternFill>
    </fill>
    <fill>
      <patternFill patternType="solid">
        <fgColor rgb="FFFFE699"/>
        <bgColor rgb="FFFFFFCC"/>
      </patternFill>
    </fill>
    <fill>
      <patternFill patternType="solid">
        <fgColor rgb="FFFFC000"/>
        <bgColor rgb="FFFFBF00"/>
      </patternFill>
    </fill>
    <fill>
      <patternFill patternType="solid">
        <fgColor rgb="FFFF7C80"/>
        <bgColor rgb="FFFF99CC"/>
      </patternFill>
    </fill>
    <fill>
      <patternFill patternType="solid">
        <fgColor rgb="FF7FAADC"/>
        <bgColor rgb="FF6AA0D0"/>
      </patternFill>
    </fill>
    <fill>
      <patternFill patternType="solid">
        <fgColor rgb="FFFFBF00"/>
        <bgColor rgb="FFFFC000"/>
      </patternFill>
    </fill>
    <fill>
      <patternFill patternType="solid">
        <fgColor rgb="FFD9D9D9"/>
        <bgColor rgb="FFD9E1F2"/>
      </patternFill>
    </fill>
    <fill>
      <patternFill patternType="solid">
        <fgColor rgb="FFBFBFBF"/>
        <bgColor rgb="FFB4C6E7"/>
      </patternFill>
    </fill>
    <fill>
      <patternFill patternType="solid">
        <fgColor rgb="FF6AA0D0"/>
        <bgColor rgb="FF7FAA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7FAADC"/>
      <rgbColor rgb="FF993366"/>
      <rgbColor rgb="FFFFFFCC"/>
      <rgbColor rgb="FFD9E1F2"/>
      <rgbColor rgb="FF660066"/>
      <rgbColor rgb="FFFF7C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5E0B4"/>
      <rgbColor rgb="FFE2EFDA"/>
      <rgbColor rgb="FFFFE699"/>
      <rgbColor rgb="FF9DC3E6"/>
      <rgbColor rgb="FFFF99CC"/>
      <rgbColor rgb="FFB4C6E7"/>
      <rgbColor rgb="FFD9D9D9"/>
      <rgbColor rgb="FF2E75B6"/>
      <rgbColor rgb="FF33CCCC"/>
      <rgbColor rgb="FF99CC00"/>
      <rgbColor rgb="FFFFC000"/>
      <rgbColor rgb="FFFFBF00"/>
      <rgbColor rgb="FFFF6600"/>
      <rgbColor rgb="FF666699"/>
      <rgbColor rgb="FF6AA0D0"/>
      <rgbColor rgb="FF1F3864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7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5" min="5" style="0" width="38"/>
    <col collapsed="false" customWidth="true" hidden="false" outlineLevel="0" max="6" min="6" style="0" width="40"/>
    <col collapsed="false" customWidth="true" hidden="false" outlineLevel="0" max="8" min="7" style="0" width="32"/>
    <col collapsed="false" customWidth="true" hidden="false" outlineLevel="0" max="9" min="9" style="0" width="9"/>
    <col collapsed="false" customWidth="true" hidden="false" outlineLevel="0" max="10" min="10" style="0" width="28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51.75" hidden="false" customHeight="true" outlineLevel="0" collapsed="false">
      <c r="A4" s="4" t="s">
        <v>12</v>
      </c>
      <c r="B4" s="5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7" t="s">
        <v>20</v>
      </c>
      <c r="J4" s="6" t="s">
        <v>21</v>
      </c>
    </row>
    <row r="5" customFormat="false" ht="51.75" hidden="false" customHeight="true" outlineLevel="0" collapsed="false">
      <c r="A5" s="8" t="s">
        <v>22</v>
      </c>
      <c r="B5" s="9" t="s">
        <v>23</v>
      </c>
      <c r="C5" s="10" t="s">
        <v>24</v>
      </c>
      <c r="D5" s="10" t="s">
        <v>25</v>
      </c>
      <c r="E5" s="10" t="s">
        <v>26</v>
      </c>
      <c r="F5" s="10" t="s">
        <v>27</v>
      </c>
      <c r="G5" s="10" t="s">
        <v>28</v>
      </c>
      <c r="H5" s="10" t="s">
        <v>29</v>
      </c>
      <c r="I5" s="7" t="s">
        <v>20</v>
      </c>
      <c r="J5" s="10" t="s">
        <v>30</v>
      </c>
    </row>
    <row r="6" customFormat="false" ht="51.75" hidden="false" customHeight="true" outlineLevel="0" collapsed="false">
      <c r="A6" s="4" t="s">
        <v>31</v>
      </c>
      <c r="B6" s="9" t="s">
        <v>23</v>
      </c>
      <c r="C6" s="6" t="s">
        <v>32</v>
      </c>
      <c r="D6" s="6" t="s">
        <v>25</v>
      </c>
      <c r="E6" s="6" t="s">
        <v>33</v>
      </c>
      <c r="F6" s="6" t="s">
        <v>34</v>
      </c>
      <c r="G6" s="6" t="s">
        <v>35</v>
      </c>
      <c r="H6" s="6" t="s">
        <v>36</v>
      </c>
      <c r="I6" s="7" t="s">
        <v>20</v>
      </c>
      <c r="J6" s="6" t="s">
        <v>37</v>
      </c>
    </row>
    <row r="7" customFormat="false" ht="51.75" hidden="false" customHeight="true" outlineLevel="0" collapsed="false">
      <c r="A7" s="8" t="s">
        <v>38</v>
      </c>
      <c r="B7" s="11" t="s">
        <v>39</v>
      </c>
      <c r="C7" s="10" t="s">
        <v>40</v>
      </c>
      <c r="D7" s="10" t="s">
        <v>41</v>
      </c>
      <c r="E7" s="10" t="s">
        <v>42</v>
      </c>
      <c r="F7" s="10" t="s">
        <v>43</v>
      </c>
      <c r="G7" s="10" t="s">
        <v>35</v>
      </c>
      <c r="H7" s="10" t="s">
        <v>36</v>
      </c>
      <c r="I7" s="7" t="s">
        <v>20</v>
      </c>
      <c r="J7" s="10" t="s">
        <v>44</v>
      </c>
    </row>
    <row r="8" customFormat="false" ht="51.75" hidden="false" customHeight="true" outlineLevel="0" collapsed="false">
      <c r="A8" s="4" t="s">
        <v>45</v>
      </c>
      <c r="B8" s="11" t="s">
        <v>39</v>
      </c>
      <c r="C8" s="6" t="s">
        <v>46</v>
      </c>
      <c r="D8" s="6" t="s">
        <v>47</v>
      </c>
      <c r="E8" s="6" t="s">
        <v>48</v>
      </c>
      <c r="F8" s="6" t="s">
        <v>49</v>
      </c>
      <c r="G8" s="6" t="s">
        <v>35</v>
      </c>
      <c r="H8" s="6" t="s">
        <v>36</v>
      </c>
      <c r="I8" s="7" t="s">
        <v>20</v>
      </c>
      <c r="J8" s="6" t="s">
        <v>50</v>
      </c>
    </row>
    <row r="9" customFormat="false" ht="51.75" hidden="false" customHeight="true" outlineLevel="0" collapsed="false">
      <c r="A9" s="8" t="s">
        <v>51</v>
      </c>
      <c r="B9" s="9" t="s">
        <v>23</v>
      </c>
      <c r="C9" s="10" t="s">
        <v>52</v>
      </c>
      <c r="D9" s="10" t="s">
        <v>53</v>
      </c>
      <c r="E9" s="10" t="s">
        <v>54</v>
      </c>
      <c r="F9" s="10" t="s">
        <v>55</v>
      </c>
      <c r="G9" s="10" t="s">
        <v>35</v>
      </c>
      <c r="H9" s="10" t="s">
        <v>36</v>
      </c>
      <c r="I9" s="7" t="s">
        <v>20</v>
      </c>
      <c r="J9" s="10"/>
    </row>
    <row r="10" customFormat="false" ht="51.75" hidden="false" customHeight="true" outlineLevel="0" collapsed="false">
      <c r="A10" s="4" t="s">
        <v>56</v>
      </c>
      <c r="B10" s="12" t="s">
        <v>57</v>
      </c>
      <c r="C10" s="6" t="s">
        <v>58</v>
      </c>
      <c r="D10" s="6" t="s">
        <v>59</v>
      </c>
      <c r="E10" s="6" t="s">
        <v>60</v>
      </c>
      <c r="F10" s="6" t="s">
        <v>61</v>
      </c>
      <c r="G10" s="6" t="s">
        <v>62</v>
      </c>
      <c r="H10" s="6" t="s">
        <v>63</v>
      </c>
      <c r="I10" s="7" t="s">
        <v>20</v>
      </c>
      <c r="J10" s="6" t="s">
        <v>64</v>
      </c>
    </row>
    <row r="11" customFormat="false" ht="51.75" hidden="false" customHeight="true" outlineLevel="0" collapsed="false">
      <c r="A11" s="8" t="s">
        <v>65</v>
      </c>
      <c r="B11" s="13" t="s">
        <v>66</v>
      </c>
      <c r="C11" s="10" t="s">
        <v>67</v>
      </c>
      <c r="D11" s="10" t="s">
        <v>68</v>
      </c>
      <c r="E11" s="10" t="s">
        <v>69</v>
      </c>
      <c r="F11" s="10" t="s">
        <v>70</v>
      </c>
      <c r="G11" s="10" t="s">
        <v>71</v>
      </c>
      <c r="H11" s="10" t="s">
        <v>72</v>
      </c>
      <c r="I11" s="7" t="s">
        <v>20</v>
      </c>
      <c r="J11" s="10"/>
    </row>
    <row r="12" customFormat="false" ht="51.75" hidden="false" customHeight="true" outlineLevel="0" collapsed="false">
      <c r="A12" s="4" t="s">
        <v>73</v>
      </c>
      <c r="B12" s="13" t="s">
        <v>66</v>
      </c>
      <c r="C12" s="6" t="s">
        <v>74</v>
      </c>
      <c r="D12" s="6" t="s">
        <v>75</v>
      </c>
      <c r="E12" s="6" t="s">
        <v>76</v>
      </c>
      <c r="F12" s="6" t="s">
        <v>77</v>
      </c>
      <c r="G12" s="6" t="s">
        <v>78</v>
      </c>
      <c r="H12" s="6" t="s">
        <v>79</v>
      </c>
      <c r="I12" s="7" t="s">
        <v>20</v>
      </c>
      <c r="J12" s="6"/>
    </row>
    <row r="13" customFormat="false" ht="51.75" hidden="false" customHeight="true" outlineLevel="0" collapsed="false">
      <c r="A13" s="8" t="s">
        <v>80</v>
      </c>
      <c r="B13" s="14" t="s">
        <v>81</v>
      </c>
      <c r="C13" s="10" t="s">
        <v>82</v>
      </c>
      <c r="D13" s="10" t="s">
        <v>83</v>
      </c>
      <c r="E13" s="10" t="s">
        <v>84</v>
      </c>
      <c r="F13" s="10" t="s">
        <v>85</v>
      </c>
      <c r="G13" s="10" t="s">
        <v>78</v>
      </c>
      <c r="H13" s="10" t="s">
        <v>86</v>
      </c>
      <c r="I13" s="7" t="s">
        <v>20</v>
      </c>
      <c r="J13" s="10"/>
    </row>
    <row r="14" customFormat="false" ht="51.75" hidden="false" customHeight="true" outlineLevel="0" collapsed="false">
      <c r="A14" s="4" t="s">
        <v>87</v>
      </c>
      <c r="B14" s="14" t="s">
        <v>81</v>
      </c>
      <c r="C14" s="6" t="s">
        <v>88</v>
      </c>
      <c r="D14" s="6" t="s">
        <v>89</v>
      </c>
      <c r="E14" s="6" t="s">
        <v>90</v>
      </c>
      <c r="F14" s="6" t="s">
        <v>91</v>
      </c>
      <c r="G14" s="6" t="s">
        <v>78</v>
      </c>
      <c r="H14" s="6" t="s">
        <v>92</v>
      </c>
      <c r="I14" s="7" t="s">
        <v>20</v>
      </c>
      <c r="J14" s="6"/>
    </row>
    <row r="15" customFormat="false" ht="51.75" hidden="false" customHeight="true" outlineLevel="0" collapsed="false">
      <c r="A15" s="8" t="s">
        <v>93</v>
      </c>
      <c r="B15" s="13" t="s">
        <v>66</v>
      </c>
      <c r="C15" s="10" t="s">
        <v>94</v>
      </c>
      <c r="D15" s="10" t="s">
        <v>75</v>
      </c>
      <c r="E15" s="10" t="s">
        <v>95</v>
      </c>
      <c r="F15" s="10" t="s">
        <v>96</v>
      </c>
      <c r="G15" s="10" t="s">
        <v>78</v>
      </c>
      <c r="H15" s="10" t="s">
        <v>97</v>
      </c>
      <c r="I15" s="7" t="s">
        <v>20</v>
      </c>
      <c r="J15" s="10"/>
    </row>
    <row r="16" customFormat="false" ht="51.75" hidden="false" customHeight="true" outlineLevel="0" collapsed="false">
      <c r="A16" s="4" t="s">
        <v>98</v>
      </c>
      <c r="B16" s="15" t="s">
        <v>99</v>
      </c>
      <c r="C16" s="6" t="s">
        <v>100</v>
      </c>
      <c r="D16" s="6" t="s">
        <v>101</v>
      </c>
      <c r="E16" s="6" t="s">
        <v>102</v>
      </c>
      <c r="F16" s="6" t="s">
        <v>103</v>
      </c>
      <c r="G16" s="6" t="s">
        <v>104</v>
      </c>
      <c r="H16" s="6" t="s">
        <v>105</v>
      </c>
      <c r="I16" s="7" t="s">
        <v>20</v>
      </c>
      <c r="J16" s="6" t="s">
        <v>106</v>
      </c>
    </row>
    <row r="17" customFormat="false" ht="51.75" hidden="false" customHeight="true" outlineLevel="0" collapsed="false">
      <c r="A17" s="8" t="s">
        <v>107</v>
      </c>
      <c r="B17" s="15" t="s">
        <v>99</v>
      </c>
      <c r="C17" s="10" t="s">
        <v>108</v>
      </c>
      <c r="D17" s="10" t="s">
        <v>109</v>
      </c>
      <c r="E17" s="10" t="s">
        <v>110</v>
      </c>
      <c r="F17" s="10" t="s">
        <v>111</v>
      </c>
      <c r="G17" s="10" t="s">
        <v>112</v>
      </c>
      <c r="H17" s="10" t="s">
        <v>113</v>
      </c>
      <c r="I17" s="7" t="s">
        <v>20</v>
      </c>
      <c r="J17" s="10" t="s">
        <v>114</v>
      </c>
    </row>
    <row r="18" customFormat="false" ht="51.75" hidden="false" customHeight="true" outlineLevel="0" collapsed="false">
      <c r="A18" s="4" t="s">
        <v>115</v>
      </c>
      <c r="B18" s="16" t="s">
        <v>116</v>
      </c>
      <c r="C18" s="6" t="s">
        <v>117</v>
      </c>
      <c r="D18" s="6" t="s">
        <v>118</v>
      </c>
      <c r="E18" s="6" t="s">
        <v>119</v>
      </c>
      <c r="F18" s="6" t="s">
        <v>120</v>
      </c>
      <c r="G18" s="6" t="s">
        <v>35</v>
      </c>
      <c r="H18" s="6" t="s">
        <v>121</v>
      </c>
      <c r="I18" s="7" t="s">
        <v>20</v>
      </c>
      <c r="J18" s="6" t="s">
        <v>122</v>
      </c>
    </row>
    <row r="19" customFormat="false" ht="51.75" hidden="false" customHeight="true" outlineLevel="0" collapsed="false">
      <c r="A19" s="8" t="s">
        <v>123</v>
      </c>
      <c r="B19" s="17" t="s">
        <v>124</v>
      </c>
      <c r="C19" s="10" t="s">
        <v>125</v>
      </c>
      <c r="D19" s="10" t="s">
        <v>126</v>
      </c>
      <c r="E19" s="10" t="s">
        <v>127</v>
      </c>
      <c r="F19" s="10" t="s">
        <v>128</v>
      </c>
      <c r="G19" s="10" t="s">
        <v>78</v>
      </c>
      <c r="H19" s="10" t="s">
        <v>129</v>
      </c>
      <c r="I19" s="7" t="s">
        <v>20</v>
      </c>
      <c r="J19" s="10"/>
    </row>
    <row r="20" customFormat="false" ht="51.75" hidden="false" customHeight="true" outlineLevel="0" collapsed="false">
      <c r="A20" s="4" t="s">
        <v>130</v>
      </c>
      <c r="B20" s="18" t="s">
        <v>131</v>
      </c>
      <c r="C20" s="6" t="s">
        <v>132</v>
      </c>
      <c r="D20" s="6" t="s">
        <v>133</v>
      </c>
      <c r="E20" s="6" t="s">
        <v>134</v>
      </c>
      <c r="F20" s="6" t="s">
        <v>135</v>
      </c>
      <c r="G20" s="6" t="s">
        <v>62</v>
      </c>
      <c r="H20" s="6" t="s">
        <v>136</v>
      </c>
      <c r="I20" s="7" t="s">
        <v>20</v>
      </c>
      <c r="J20" s="6"/>
    </row>
    <row r="21" customFormat="false" ht="51.75" hidden="false" customHeight="true" outlineLevel="0" collapsed="false">
      <c r="A21" s="8" t="s">
        <v>137</v>
      </c>
      <c r="B21" s="18" t="s">
        <v>131</v>
      </c>
      <c r="C21" s="10" t="s">
        <v>138</v>
      </c>
      <c r="D21" s="10" t="s">
        <v>139</v>
      </c>
      <c r="E21" s="10" t="s">
        <v>140</v>
      </c>
      <c r="F21" s="10" t="s">
        <v>135</v>
      </c>
      <c r="G21" s="10" t="s">
        <v>62</v>
      </c>
      <c r="H21" s="10" t="s">
        <v>136</v>
      </c>
      <c r="I21" s="7" t="s">
        <v>20</v>
      </c>
      <c r="J21" s="10"/>
    </row>
    <row r="22" customFormat="false" ht="51.75" hidden="false" customHeight="true" outlineLevel="0" collapsed="false">
      <c r="A22" s="4" t="s">
        <v>141</v>
      </c>
      <c r="B22" s="18" t="s">
        <v>131</v>
      </c>
      <c r="C22" s="6" t="s">
        <v>142</v>
      </c>
      <c r="D22" s="6" t="s">
        <v>143</v>
      </c>
      <c r="E22" s="6" t="s">
        <v>144</v>
      </c>
      <c r="F22" s="6" t="s">
        <v>135</v>
      </c>
      <c r="G22" s="6" t="s">
        <v>62</v>
      </c>
      <c r="H22" s="6" t="s">
        <v>136</v>
      </c>
      <c r="I22" s="7" t="s">
        <v>20</v>
      </c>
      <c r="J22" s="6"/>
    </row>
    <row r="23" customFormat="false" ht="51.75" hidden="false" customHeight="true" outlineLevel="0" collapsed="false">
      <c r="A23" s="8" t="s">
        <v>145</v>
      </c>
      <c r="B23" s="19" t="s">
        <v>146</v>
      </c>
      <c r="C23" s="10" t="s">
        <v>147</v>
      </c>
      <c r="D23" s="10" t="s">
        <v>148</v>
      </c>
      <c r="E23" s="10" t="s">
        <v>149</v>
      </c>
      <c r="F23" s="10" t="s">
        <v>150</v>
      </c>
      <c r="G23" s="10" t="s">
        <v>104</v>
      </c>
      <c r="H23" s="10" t="s">
        <v>151</v>
      </c>
      <c r="I23" s="7" t="s">
        <v>20</v>
      </c>
      <c r="J23" s="10"/>
    </row>
    <row r="24" customFormat="false" ht="51.75" hidden="false" customHeight="true" outlineLevel="0" collapsed="false">
      <c r="A24" s="4" t="s">
        <v>152</v>
      </c>
      <c r="B24" s="5" t="s">
        <v>13</v>
      </c>
      <c r="C24" s="6" t="s">
        <v>153</v>
      </c>
      <c r="D24" s="6" t="s">
        <v>154</v>
      </c>
      <c r="E24" s="6" t="s">
        <v>155</v>
      </c>
      <c r="F24" s="6" t="s">
        <v>156</v>
      </c>
      <c r="G24" s="6" t="s">
        <v>35</v>
      </c>
      <c r="H24" s="6" t="s">
        <v>36</v>
      </c>
      <c r="I24" s="7" t="s">
        <v>20</v>
      </c>
      <c r="J24" s="6" t="s">
        <v>157</v>
      </c>
    </row>
    <row r="25" customFormat="false" ht="51.75" hidden="false" customHeight="true" outlineLevel="0" collapsed="false">
      <c r="A25" s="8" t="s">
        <v>158</v>
      </c>
      <c r="B25" s="5" t="s">
        <v>13</v>
      </c>
      <c r="C25" s="10" t="s">
        <v>159</v>
      </c>
      <c r="D25" s="10" t="s">
        <v>160</v>
      </c>
      <c r="E25" s="10" t="s">
        <v>161</v>
      </c>
      <c r="F25" s="10" t="s">
        <v>162</v>
      </c>
      <c r="G25" s="10" t="s">
        <v>78</v>
      </c>
      <c r="H25" s="10" t="s">
        <v>163</v>
      </c>
      <c r="I25" s="7" t="s">
        <v>20</v>
      </c>
      <c r="J25" s="10"/>
    </row>
    <row r="26" customFormat="false" ht="51.75" hidden="false" customHeight="true" outlineLevel="0" collapsed="false">
      <c r="A26" s="4" t="s">
        <v>164</v>
      </c>
      <c r="B26" s="20" t="s">
        <v>165</v>
      </c>
      <c r="C26" s="6" t="s">
        <v>166</v>
      </c>
      <c r="D26" s="6" t="s">
        <v>167</v>
      </c>
      <c r="E26" s="6" t="s">
        <v>168</v>
      </c>
      <c r="F26" s="6" t="s">
        <v>169</v>
      </c>
      <c r="G26" s="6" t="s">
        <v>35</v>
      </c>
      <c r="H26" s="6" t="s">
        <v>170</v>
      </c>
      <c r="I26" s="7" t="s">
        <v>20</v>
      </c>
      <c r="J26" s="6" t="s">
        <v>171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</cols>
  <sheetData>
    <row r="1" customFormat="false" ht="27.75" hidden="false" customHeight="true" outlineLevel="0" collapsed="false">
      <c r="A1" s="21" t="s">
        <v>172</v>
      </c>
      <c r="B1" s="21"/>
    </row>
    <row r="2" customFormat="false" ht="21.75" hidden="false" customHeight="true" outlineLevel="0" collapsed="false">
      <c r="A2" s="22" t="s">
        <v>173</v>
      </c>
      <c r="B2" s="22" t="s">
        <v>174</v>
      </c>
    </row>
    <row r="3" customFormat="false" ht="21.75" hidden="false" customHeight="true" outlineLevel="0" collapsed="false">
      <c r="A3" s="6" t="s">
        <v>175</v>
      </c>
      <c r="B3" s="23" t="n">
        <f aca="false">COUNTA('UART Test Plan'!A4:A1000)</f>
        <v>23</v>
      </c>
    </row>
    <row r="4" customFormat="false" ht="21.75" hidden="false" customHeight="true" outlineLevel="0" collapsed="false">
      <c r="A4" s="10" t="s">
        <v>20</v>
      </c>
      <c r="B4" s="24" t="n">
        <f aca="false">COUNTIF('UART Test Plan'!I4:I1000,"PASS")</f>
        <v>23</v>
      </c>
    </row>
    <row r="5" customFormat="false" ht="21.75" hidden="false" customHeight="true" outlineLevel="0" collapsed="false">
      <c r="A5" s="6" t="s">
        <v>176</v>
      </c>
      <c r="B5" s="23" t="n">
        <f aca="false">COUNTIF('UART Test Plan'!I4:I1000,"FAIL")</f>
        <v>0</v>
      </c>
    </row>
    <row r="6" customFormat="false" ht="21.75" hidden="false" customHeight="true" outlineLevel="0" collapsed="false">
      <c r="A6" s="10" t="s">
        <v>177</v>
      </c>
      <c r="B6" s="24" t="n">
        <f aca="false">COUNTIF('UART Test Plan'!I4:I1000,"NOT RUN")</f>
        <v>0</v>
      </c>
    </row>
    <row r="7" customFormat="false" ht="21.75" hidden="false" customHeight="true" outlineLevel="0" collapsed="false">
      <c r="A7" s="25" t="s">
        <v>178</v>
      </c>
      <c r="B7" s="26" t="n">
        <f aca="false">IFERROR(B3/B2*100,0)</f>
        <v>0</v>
      </c>
    </row>
    <row r="8" customFormat="false" ht="19.5" hidden="false" customHeight="true" outlineLevel="0" collapsed="false">
      <c r="A8" s="27" t="s">
        <v>179</v>
      </c>
    </row>
    <row r="9" customFormat="false" ht="15" hidden="false" customHeight="false" outlineLevel="0" collapsed="false">
      <c r="A9" s="22" t="s">
        <v>3</v>
      </c>
      <c r="B9" s="22" t="s">
        <v>180</v>
      </c>
    </row>
    <row r="10" customFormat="false" ht="18" hidden="false" customHeight="true" outlineLevel="0" collapsed="false">
      <c r="A10" s="6" t="s">
        <v>124</v>
      </c>
      <c r="B10" s="23" t="n">
        <v>1</v>
      </c>
    </row>
    <row r="11" customFormat="false" ht="18" hidden="false" customHeight="true" outlineLevel="0" collapsed="false">
      <c r="A11" s="10" t="s">
        <v>66</v>
      </c>
      <c r="B11" s="24" t="n">
        <v>3</v>
      </c>
    </row>
    <row r="12" customFormat="false" ht="18" hidden="false" customHeight="true" outlineLevel="0" collapsed="false">
      <c r="A12" s="6" t="s">
        <v>81</v>
      </c>
      <c r="B12" s="23" t="n">
        <v>2</v>
      </c>
    </row>
    <row r="13" customFormat="false" ht="18" hidden="false" customHeight="true" outlineLevel="0" collapsed="false">
      <c r="A13" s="10" t="s">
        <v>99</v>
      </c>
      <c r="B13" s="24" t="n">
        <v>2</v>
      </c>
    </row>
    <row r="14" customFormat="false" ht="18" hidden="false" customHeight="true" outlineLevel="0" collapsed="false">
      <c r="A14" s="6" t="s">
        <v>13</v>
      </c>
      <c r="B14" s="23" t="n">
        <v>3</v>
      </c>
    </row>
    <row r="15" customFormat="false" ht="18" hidden="false" customHeight="true" outlineLevel="0" collapsed="false">
      <c r="A15" s="10" t="s">
        <v>146</v>
      </c>
      <c r="B15" s="24" t="n">
        <v>1</v>
      </c>
    </row>
    <row r="16" customFormat="false" ht="18" hidden="false" customHeight="true" outlineLevel="0" collapsed="false">
      <c r="A16" s="6" t="s">
        <v>131</v>
      </c>
      <c r="B16" s="23" t="n">
        <v>3</v>
      </c>
    </row>
    <row r="17" customFormat="false" ht="18" hidden="false" customHeight="true" outlineLevel="0" collapsed="false">
      <c r="A17" s="10" t="s">
        <v>116</v>
      </c>
      <c r="B17" s="24" t="n">
        <v>1</v>
      </c>
    </row>
    <row r="18" customFormat="false" ht="18" hidden="false" customHeight="true" outlineLevel="0" collapsed="false">
      <c r="A18" s="6" t="s">
        <v>23</v>
      </c>
      <c r="B18" s="23" t="n">
        <v>3</v>
      </c>
    </row>
    <row r="19" customFormat="false" ht="18" hidden="false" customHeight="true" outlineLevel="0" collapsed="false">
      <c r="A19" s="10" t="s">
        <v>39</v>
      </c>
      <c r="B19" s="24" t="n">
        <v>2</v>
      </c>
    </row>
    <row r="20" customFormat="false" ht="18" hidden="false" customHeight="true" outlineLevel="0" collapsed="false">
      <c r="A20" s="6" t="s">
        <v>57</v>
      </c>
      <c r="B20" s="23" t="n">
        <v>1</v>
      </c>
    </row>
    <row r="21" customFormat="false" ht="18" hidden="false" customHeight="true" outlineLevel="0" collapsed="false">
      <c r="A21" s="10" t="s">
        <v>165</v>
      </c>
      <c r="B21" s="24" t="n">
        <v>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2026-05-21T04:48:10Z</dcterms:created>
  <dc:creator>openpyxl</dc:creator>
  <dc:description/>
  <dc:language>en-US</dc:language>
  <cp:lastModifiedBy/>
  <dcterms:modified xsi:type="dcterms:W3CDTF">2026-05-21T04:48:10Z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